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1030" windowHeight="5430" activeTab="1"/>
  </bookViews>
  <sheets>
    <sheet name="NC Fact. Compra" sheetId="1" r:id="rId1"/>
    <sheet name="NC y ND Fact. Exportación" sheetId="4" r:id="rId2"/>
    <sheet name="Precio Variable" sheetId="2" r:id="rId3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" i="1"/>
  <c r="B45" s="1"/>
  <c r="B43"/>
</calcChain>
</file>

<file path=xl/sharedStrings.xml><?xml version="1.0" encoding="utf-8"?>
<sst xmlns="http://schemas.openxmlformats.org/spreadsheetml/2006/main" count="74" uniqueCount="56">
  <si>
    <t>Se agregaran los siguientes impuestos en las Notas de Crédito</t>
  </si>
  <si>
    <t>Nombre del Impuesto</t>
  </si>
  <si>
    <t>Cód. SII</t>
  </si>
  <si>
    <t>% Reten.</t>
  </si>
  <si>
    <t>IVA RETENIDO TRIGO.</t>
  </si>
  <si>
    <t>IVA RETENIDO MADERA.</t>
  </si>
  <si>
    <t>IVA RETENIDO GANADO.</t>
  </si>
  <si>
    <t>IVA RETENIDO LEGUMBRES.</t>
  </si>
  <si>
    <t>IVA RETENIDO ARROZ.</t>
  </si>
  <si>
    <t>IVA RETENIDO SILVESTRES.</t>
  </si>
  <si>
    <t>IVA RETENIDO HIDROBIOLOGICAS.</t>
  </si>
  <si>
    <t>IVA RETENIDO FRAMBUESAS Y PASAS.</t>
  </si>
  <si>
    <t>IVA RETENIDO TOTAL.</t>
  </si>
  <si>
    <t>IVA RETENIDO CHATARRA.</t>
  </si>
  <si>
    <t>IVA RETENIDO PPA.</t>
  </si>
  <si>
    <t>IVA RETENIDO CONSTRUCCION.</t>
  </si>
  <si>
    <t>IVA RETENIDO CARTONES.</t>
  </si>
  <si>
    <t>Habilitar la opción para que los clientes puedan editar el precio de un producto directamente desde la pantalla.</t>
  </si>
  <si>
    <t>Se debe permitir editar el precio, dado que tenemos clientes que trabajan con precios variables.</t>
  </si>
  <si>
    <t>Al momento de emitir un DTE, no se podrán utilizar al mismo tiempo los impuestos indicados en la columna A con la columna B (requerimiento para no causar conflictos con las notas en Contabilidad).</t>
  </si>
  <si>
    <t>Para el ejemplo no se considera un descto. Global, sin embargo, se podrán emitir descuentos globales.</t>
  </si>
  <si>
    <t>Monto Neto:</t>
  </si>
  <si>
    <t>IVA</t>
  </si>
  <si>
    <t>Impto Adicional (tasa 14%)</t>
  </si>
  <si>
    <t>Total</t>
  </si>
  <si>
    <t>Los nuevos Impuestos que se utilizan en las Notas de Crédito se rebajan del total documento (no suma). A modo de ejemplo, se presenta el siguiente ejemplo con IVA Retenido Frambuezas y Pasas:</t>
  </si>
  <si>
    <t>Impto. Licores, Piscos, Destilados</t>
  </si>
  <si>
    <t>Impto. Vinos, Champaña, Chichas</t>
  </si>
  <si>
    <t>Impto. Cervezas y Bebidas Alcohólicas</t>
  </si>
  <si>
    <t>Impto. Bebidas Analcohólicas</t>
  </si>
  <si>
    <t>ILA Beb. Analc. c/elevado cont. Azúcar</t>
  </si>
  <si>
    <t>ILA por Notas de Débito emitidas</t>
  </si>
  <si>
    <t>ILA por Notas de Crédito emitidas</t>
  </si>
  <si>
    <t>Imp. Adic. Alfombras, Tapices, Casas Rodantes, Cav</t>
  </si>
  <si>
    <t>Imp. Adic. Pirotecnia</t>
  </si>
  <si>
    <t>IVA Anticipado Carne</t>
  </si>
  <si>
    <t>Ret. anticipo cambio sujeto Carne</t>
  </si>
  <si>
    <t>Columna A (Imptos. Actuales)</t>
  </si>
  <si>
    <t>Columna B (Nuevos Impuestos)</t>
  </si>
  <si>
    <t>El conflicto se debe a que en contabilidad se hace una distinción entre las Notas de Crédito asociadas a Fact. de Compra y las Notas de Crédito normales</t>
  </si>
  <si>
    <t>1. Notas de Crédito asociadas a Facturas de Compra</t>
  </si>
  <si>
    <t>2. Validación entre los distintos impuestos</t>
  </si>
  <si>
    <t>3. Rebaja en el Total</t>
  </si>
  <si>
    <t>Se habilitarán las siguientes opciones en los DTE</t>
  </si>
  <si>
    <t>Las especificaciones para cada uno de estos documentos las podrá encontrar más abajo</t>
  </si>
  <si>
    <t>Nota de Crédito Exportación</t>
  </si>
  <si>
    <t>Al seleccionar esta opción se deben desplegar las siguientes opciones:</t>
  </si>
  <si>
    <t>Cada una de las opciones tendrá las mismas funcionalidades que la que se utilizan para las Notas de Crédito Normales.</t>
  </si>
  <si>
    <t>Tener en consideración:</t>
  </si>
  <si>
    <t>En Tipo Doc. Solo podrá estar la opción Fact. Exportación</t>
  </si>
  <si>
    <t>Si presiona Cancelar, debe permitir crear una NC en blanco</t>
  </si>
  <si>
    <t>Aspectos Técnicos de la Nota de Crédito de Exportación</t>
  </si>
  <si>
    <t>Tiene los mismos requisitos que la Factura de Exportación</t>
  </si>
  <si>
    <t>Nota de Débito Exportación</t>
  </si>
  <si>
    <t>Cada una de las opciones tendrá las mismas funcionalidades que la que se utilizan para las Notas de Débito Normales.</t>
  </si>
  <si>
    <t>Aspectos Técnicos de la Nota de Débito de Exportación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</si>
</sst>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2" fillId="0" borderId="1" xfId="0" applyFont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0" xfId="0" applyFont="1"/>
    <xf numFmtId="0" fontId="2" fillId="0" borderId="0" xfId="0" applyFont="1" applyFill="1"/>
    <xf numFmtId="0" fontId="0" fillId="0" borderId="0" xfId="0" applyFont="1" applyFill="1"/>
    <xf numFmtId="0" fontId="4" fillId="0" borderId="0" xfId="0" applyFon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41</xdr:row>
      <xdr:rowOff>0</xdr:rowOff>
    </xdr:from>
    <xdr:to>
      <xdr:col>8</xdr:col>
      <xdr:colOff>38100</xdr:colOff>
      <xdr:row>49</xdr:row>
      <xdr:rowOff>104775</xdr:rowOff>
    </xdr:to>
    <xdr:pic>
      <xdr:nvPicPr>
        <xdr:cNvPr id="2" name="Imagen 10">
          <a:extLst>
            <a:ext uri="{FF2B5EF4-FFF2-40B4-BE49-F238E27FC236}">
              <a16:creationId xmlns:a16="http://schemas.microsoft.com/office/drawing/2014/main" xmlns="" id="{95CC0849-2F4B-425E-9A7B-16C2E0FB8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552950" y="27622500"/>
          <a:ext cx="3086100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676275</xdr:colOff>
      <xdr:row>41</xdr:row>
      <xdr:rowOff>66675</xdr:rowOff>
    </xdr:from>
    <xdr:to>
      <xdr:col>4</xdr:col>
      <xdr:colOff>85725</xdr:colOff>
      <xdr:row>44</xdr:row>
      <xdr:rowOff>95250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xmlns="" id="{815AC8D9-0F69-4F2F-BAE6-E64478748800}"/>
            </a:ext>
          </a:extLst>
        </xdr:cNvPr>
        <xdr:cNvCxnSpPr/>
      </xdr:nvCxnSpPr>
      <xdr:spPr>
        <a:xfrm>
          <a:off x="2943225" y="27689175"/>
          <a:ext cx="169545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42</xdr:row>
      <xdr:rowOff>142875</xdr:rowOff>
    </xdr:from>
    <xdr:to>
      <xdr:col>4</xdr:col>
      <xdr:colOff>114300</xdr:colOff>
      <xdr:row>45</xdr:row>
      <xdr:rowOff>133350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xmlns="" id="{512B3E6A-3A2B-4824-A315-9BB63B7E5E02}"/>
            </a:ext>
          </a:extLst>
        </xdr:cNvPr>
        <xdr:cNvCxnSpPr/>
      </xdr:nvCxnSpPr>
      <xdr:spPr>
        <a:xfrm>
          <a:off x="2886075" y="27955875"/>
          <a:ext cx="1781175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647700</xdr:colOff>
      <xdr:row>43</xdr:row>
      <xdr:rowOff>114300</xdr:rowOff>
    </xdr:from>
    <xdr:to>
      <xdr:col>4</xdr:col>
      <xdr:colOff>104775</xdr:colOff>
      <xdr:row>46</xdr:row>
      <xdr:rowOff>171450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xmlns="" id="{689B0CAC-B1A1-4FED-8E81-F322DECDEBB3}"/>
            </a:ext>
          </a:extLst>
        </xdr:cNvPr>
        <xdr:cNvCxnSpPr/>
      </xdr:nvCxnSpPr>
      <xdr:spPr>
        <a:xfrm>
          <a:off x="2914650" y="28117800"/>
          <a:ext cx="1743075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657225</xdr:colOff>
      <xdr:row>44</xdr:row>
      <xdr:rowOff>171450</xdr:rowOff>
    </xdr:from>
    <xdr:to>
      <xdr:col>4</xdr:col>
      <xdr:colOff>76200</xdr:colOff>
      <xdr:row>48</xdr:row>
      <xdr:rowOff>19050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xmlns="" id="{9A452D54-0CD6-41C4-B685-A75401650ECA}"/>
            </a:ext>
          </a:extLst>
        </xdr:cNvPr>
        <xdr:cNvCxnSpPr/>
      </xdr:nvCxnSpPr>
      <xdr:spPr>
        <a:xfrm>
          <a:off x="2924175" y="28374975"/>
          <a:ext cx="1704975" cy="619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6</xdr:col>
      <xdr:colOff>599429</xdr:colOff>
      <xdr:row>19</xdr:row>
      <xdr:rowOff>180571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6A0CD29-38DF-420B-98B3-90D72CE1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5171429" cy="3228571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15</xdr:row>
      <xdr:rowOff>19050</xdr:rowOff>
    </xdr:from>
    <xdr:to>
      <xdr:col>3</xdr:col>
      <xdr:colOff>514350</xdr:colOff>
      <xdr:row>17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DE4A76B8-AD60-4430-9A33-A25D7F6FE766}"/>
            </a:ext>
          </a:extLst>
        </xdr:cNvPr>
        <xdr:cNvSpPr/>
      </xdr:nvSpPr>
      <xdr:spPr>
        <a:xfrm>
          <a:off x="876300" y="2686050"/>
          <a:ext cx="192405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7</xdr:col>
      <xdr:colOff>323143</xdr:colOff>
      <xdr:row>35</xdr:row>
      <xdr:rowOff>152119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AD15E34-AFAE-4032-A3BF-B266B9284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572000"/>
          <a:ext cx="5657143" cy="22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11</xdr:col>
      <xdr:colOff>46571</xdr:colOff>
      <xdr:row>74</xdr:row>
      <xdr:rowOff>189690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1937288A-3A67-4172-B51A-2D261F3DD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7810500"/>
          <a:ext cx="8428571" cy="6476190"/>
        </a:xfrm>
        <a:prstGeom prst="rect">
          <a:avLst/>
        </a:prstGeom>
      </xdr:spPr>
    </xdr:pic>
    <xdr:clientData/>
  </xdr:twoCellAnchor>
  <xdr:twoCellAnchor>
    <xdr:from>
      <xdr:col>6</xdr:col>
      <xdr:colOff>38100</xdr:colOff>
      <xdr:row>47</xdr:row>
      <xdr:rowOff>0</xdr:rowOff>
    </xdr:from>
    <xdr:to>
      <xdr:col>8</xdr:col>
      <xdr:colOff>161925</xdr:colOff>
      <xdr:row>48</xdr:row>
      <xdr:rowOff>28575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3C8A1AD2-DBF1-421F-B692-8654738C024C}"/>
            </a:ext>
          </a:extLst>
        </xdr:cNvPr>
        <xdr:cNvSpPr/>
      </xdr:nvSpPr>
      <xdr:spPr>
        <a:xfrm>
          <a:off x="4610100" y="8953500"/>
          <a:ext cx="164782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419100</xdr:colOff>
      <xdr:row>43</xdr:row>
      <xdr:rowOff>9525</xdr:rowOff>
    </xdr:from>
    <xdr:to>
      <xdr:col>9</xdr:col>
      <xdr:colOff>466725</xdr:colOff>
      <xdr:row>44</xdr:row>
      <xdr:rowOff>38100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5BE7BF80-B1E7-4B92-8072-78FFC18B9DC1}"/>
            </a:ext>
          </a:extLst>
        </xdr:cNvPr>
        <xdr:cNvSpPr/>
      </xdr:nvSpPr>
      <xdr:spPr>
        <a:xfrm>
          <a:off x="6515100" y="8201025"/>
          <a:ext cx="80962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466725</xdr:colOff>
      <xdr:row>43</xdr:row>
      <xdr:rowOff>114300</xdr:rowOff>
    </xdr:from>
    <xdr:to>
      <xdr:col>12</xdr:col>
      <xdr:colOff>0</xdr:colOff>
      <xdr:row>43</xdr:row>
      <xdr:rowOff>119063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xmlns="" id="{6E6DE678-E7C8-4C33-822C-221366E8C7C7}"/>
            </a:ext>
          </a:extLst>
        </xdr:cNvPr>
        <xdr:cNvCxnSpPr>
          <a:stCxn id="7" idx="3"/>
        </xdr:cNvCxnSpPr>
      </xdr:nvCxnSpPr>
      <xdr:spPr>
        <a:xfrm flipV="1">
          <a:off x="7324725" y="8305800"/>
          <a:ext cx="1819275" cy="476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47</xdr:row>
      <xdr:rowOff>104775</xdr:rowOff>
    </xdr:from>
    <xdr:to>
      <xdr:col>12</xdr:col>
      <xdr:colOff>0</xdr:colOff>
      <xdr:row>47</xdr:row>
      <xdr:rowOff>109539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xmlns="" id="{8108FA8A-12B9-4E45-92BE-A9CFC48F6AE2}"/>
            </a:ext>
          </a:extLst>
        </xdr:cNvPr>
        <xdr:cNvCxnSpPr/>
      </xdr:nvCxnSpPr>
      <xdr:spPr>
        <a:xfrm flipV="1">
          <a:off x="6257925" y="9058275"/>
          <a:ext cx="2886075" cy="4764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83</xdr:row>
      <xdr:rowOff>0</xdr:rowOff>
    </xdr:from>
    <xdr:to>
      <xdr:col>7</xdr:col>
      <xdr:colOff>323143</xdr:colOff>
      <xdr:row>94</xdr:row>
      <xdr:rowOff>152119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38E1DDBC-E251-4E60-9C39-BB4D8EDF7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5811500"/>
          <a:ext cx="5657143" cy="2247619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100</xdr:row>
      <xdr:rowOff>0</xdr:rowOff>
    </xdr:from>
    <xdr:ext cx="8428571" cy="6476190"/>
    <xdr:pic>
      <xdr:nvPicPr>
        <xdr:cNvPr id="16" name="Imagen 15">
          <a:extLst>
            <a:ext uri="{FF2B5EF4-FFF2-40B4-BE49-F238E27FC236}">
              <a16:creationId xmlns:a16="http://schemas.microsoft.com/office/drawing/2014/main" xmlns="" id="{2ECFE032-9534-462C-A4AF-A73C16498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7810500"/>
          <a:ext cx="8428571" cy="6476190"/>
        </a:xfrm>
        <a:prstGeom prst="rect">
          <a:avLst/>
        </a:prstGeom>
      </xdr:spPr>
    </xdr:pic>
    <xdr:clientData/>
  </xdr:oneCellAnchor>
  <xdr:twoCellAnchor>
    <xdr:from>
      <xdr:col>6</xdr:col>
      <xdr:colOff>38100</xdr:colOff>
      <xdr:row>106</xdr:row>
      <xdr:rowOff>0</xdr:rowOff>
    </xdr:from>
    <xdr:to>
      <xdr:col>8</xdr:col>
      <xdr:colOff>161925</xdr:colOff>
      <xdr:row>107</xdr:row>
      <xdr:rowOff>28575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xmlns="" id="{02572017-E4EE-4F63-9563-43396ECCA32B}"/>
            </a:ext>
          </a:extLst>
        </xdr:cNvPr>
        <xdr:cNvSpPr/>
      </xdr:nvSpPr>
      <xdr:spPr>
        <a:xfrm>
          <a:off x="4610100" y="8953500"/>
          <a:ext cx="164782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419100</xdr:colOff>
      <xdr:row>102</xdr:row>
      <xdr:rowOff>9525</xdr:rowOff>
    </xdr:from>
    <xdr:to>
      <xdr:col>9</xdr:col>
      <xdr:colOff>466725</xdr:colOff>
      <xdr:row>103</xdr:row>
      <xdr:rowOff>38100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xmlns="" id="{71EE2EBC-13AB-475B-B31F-742B960D413F}"/>
            </a:ext>
          </a:extLst>
        </xdr:cNvPr>
        <xdr:cNvSpPr/>
      </xdr:nvSpPr>
      <xdr:spPr>
        <a:xfrm>
          <a:off x="6515100" y="8201025"/>
          <a:ext cx="80962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466725</xdr:colOff>
      <xdr:row>102</xdr:row>
      <xdr:rowOff>114300</xdr:rowOff>
    </xdr:from>
    <xdr:to>
      <xdr:col>12</xdr:col>
      <xdr:colOff>0</xdr:colOff>
      <xdr:row>102</xdr:row>
      <xdr:rowOff>119063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xmlns="" id="{2333122B-1BEF-4AC4-8FB9-7D1DC083A382}"/>
            </a:ext>
          </a:extLst>
        </xdr:cNvPr>
        <xdr:cNvCxnSpPr>
          <a:stCxn id="18" idx="3"/>
        </xdr:cNvCxnSpPr>
      </xdr:nvCxnSpPr>
      <xdr:spPr>
        <a:xfrm flipV="1">
          <a:off x="7324725" y="8305800"/>
          <a:ext cx="1819275" cy="476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106</xdr:row>
      <xdr:rowOff>104775</xdr:rowOff>
    </xdr:from>
    <xdr:to>
      <xdr:col>12</xdr:col>
      <xdr:colOff>0</xdr:colOff>
      <xdr:row>106</xdr:row>
      <xdr:rowOff>109539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xmlns="" id="{4CD07B10-21FF-4779-8FFF-7B80598685F0}"/>
            </a:ext>
          </a:extLst>
        </xdr:cNvPr>
        <xdr:cNvCxnSpPr/>
      </xdr:nvCxnSpPr>
      <xdr:spPr>
        <a:xfrm flipV="1">
          <a:off x="6257925" y="9058275"/>
          <a:ext cx="2886075" cy="4764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670943</xdr:colOff>
      <xdr:row>30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828D1153-161A-4181-B504-B86D195E7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6766943" cy="5343525"/>
        </a:xfrm>
        <a:prstGeom prst="rect">
          <a:avLst/>
        </a:prstGeom>
      </xdr:spPr>
    </xdr:pic>
    <xdr:clientData/>
  </xdr:twoCellAnchor>
  <xdr:twoCellAnchor>
    <xdr:from>
      <xdr:col>5</xdr:col>
      <xdr:colOff>438150</xdr:colOff>
      <xdr:row>11</xdr:row>
      <xdr:rowOff>180975</xdr:rowOff>
    </xdr:from>
    <xdr:to>
      <xdr:col>6</xdr:col>
      <xdr:colOff>314325</xdr:colOff>
      <xdr:row>13</xdr:row>
      <xdr:rowOff>133350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EC03ABB3-231C-46B9-AD97-EEC1CC068951}"/>
            </a:ext>
          </a:extLst>
        </xdr:cNvPr>
        <xdr:cNvSpPr/>
      </xdr:nvSpPr>
      <xdr:spPr>
        <a:xfrm>
          <a:off x="4248150" y="2276475"/>
          <a:ext cx="638175" cy="333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314325</xdr:colOff>
      <xdr:row>12</xdr:row>
      <xdr:rowOff>133350</xdr:rowOff>
    </xdr:from>
    <xdr:to>
      <xdr:col>9</xdr:col>
      <xdr:colOff>685800</xdr:colOff>
      <xdr:row>12</xdr:row>
      <xdr:rowOff>157163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xmlns="" id="{BD58F3A4-FE7C-439A-9F70-2D4A2445BC7E}"/>
            </a:ext>
          </a:extLst>
        </xdr:cNvPr>
        <xdr:cNvCxnSpPr>
          <a:stCxn id="3" idx="3"/>
        </xdr:cNvCxnSpPr>
      </xdr:nvCxnSpPr>
      <xdr:spPr>
        <a:xfrm flipV="1">
          <a:off x="4886325" y="2419350"/>
          <a:ext cx="2657475" cy="2381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showGridLines="0" topLeftCell="A19" workbookViewId="0">
      <selection activeCell="A39" sqref="A39"/>
    </sheetView>
  </sheetViews>
  <sheetFormatPr defaultColWidth="11.42578125" defaultRowHeight="15"/>
  <cols>
    <col min="1" max="1" width="34.28515625" customWidth="1"/>
  </cols>
  <sheetData>
    <row r="1" spans="1:3" s="1" customFormat="1">
      <c r="A1" s="1" t="s">
        <v>40</v>
      </c>
    </row>
    <row r="2" spans="1:3">
      <c r="A2" t="s">
        <v>0</v>
      </c>
    </row>
    <row r="4" spans="1:3">
      <c r="A4" s="2" t="s">
        <v>1</v>
      </c>
      <c r="B4" s="2" t="s">
        <v>2</v>
      </c>
      <c r="C4" s="2" t="s">
        <v>3</v>
      </c>
    </row>
    <row r="5" spans="1:3">
      <c r="A5" s="3" t="s">
        <v>4</v>
      </c>
      <c r="B5" s="4">
        <v>34</v>
      </c>
      <c r="C5" s="5"/>
    </row>
    <row r="6" spans="1:3">
      <c r="A6" s="3" t="s">
        <v>5</v>
      </c>
      <c r="B6" s="4">
        <v>33</v>
      </c>
      <c r="C6" s="5"/>
    </row>
    <row r="7" spans="1:3">
      <c r="A7" s="3" t="s">
        <v>6</v>
      </c>
      <c r="B7" s="4">
        <v>32</v>
      </c>
      <c r="C7" s="5"/>
    </row>
    <row r="8" spans="1:3">
      <c r="A8" s="3" t="s">
        <v>7</v>
      </c>
      <c r="B8" s="4">
        <v>30</v>
      </c>
      <c r="C8" s="5"/>
    </row>
    <row r="9" spans="1:3">
      <c r="A9" s="3" t="s">
        <v>8</v>
      </c>
      <c r="B9" s="4">
        <v>36</v>
      </c>
      <c r="C9" s="5"/>
    </row>
    <row r="10" spans="1:3">
      <c r="A10" s="3" t="s">
        <v>9</v>
      </c>
      <c r="B10" s="4">
        <v>31</v>
      </c>
      <c r="C10" s="5"/>
    </row>
    <row r="11" spans="1:3">
      <c r="A11" s="3" t="s">
        <v>10</v>
      </c>
      <c r="B11" s="4">
        <v>37</v>
      </c>
      <c r="C11" s="5"/>
    </row>
    <row r="12" spans="1:3">
      <c r="A12" s="3" t="s">
        <v>11</v>
      </c>
      <c r="B12" s="4">
        <v>48</v>
      </c>
      <c r="C12" s="5">
        <v>0.14000000000000001</v>
      </c>
    </row>
    <row r="13" spans="1:3">
      <c r="A13" s="3" t="s">
        <v>12</v>
      </c>
      <c r="B13" s="4">
        <v>15</v>
      </c>
      <c r="C13" s="5">
        <v>0.19</v>
      </c>
    </row>
    <row r="14" spans="1:3">
      <c r="A14" s="3" t="s">
        <v>13</v>
      </c>
      <c r="B14" s="4">
        <v>38</v>
      </c>
      <c r="C14" s="5">
        <v>0.19</v>
      </c>
    </row>
    <row r="15" spans="1:3">
      <c r="A15" s="3" t="s">
        <v>14</v>
      </c>
      <c r="B15" s="4">
        <v>39</v>
      </c>
      <c r="C15" s="5">
        <v>0.19</v>
      </c>
    </row>
    <row r="16" spans="1:3">
      <c r="A16" s="3" t="s">
        <v>15</v>
      </c>
      <c r="B16" s="4">
        <v>41</v>
      </c>
      <c r="C16" s="5">
        <v>0.19</v>
      </c>
    </row>
    <row r="17" spans="1:5">
      <c r="A17" s="3" t="s">
        <v>16</v>
      </c>
      <c r="B17" s="4">
        <v>47</v>
      </c>
      <c r="C17" s="5">
        <v>0.19</v>
      </c>
    </row>
    <row r="19" spans="1:5" s="1" customFormat="1">
      <c r="A19" s="1" t="s">
        <v>41</v>
      </c>
    </row>
    <row r="20" spans="1:5">
      <c r="A20" t="s">
        <v>19</v>
      </c>
    </row>
    <row r="21" spans="1:5">
      <c r="A21" s="8" t="s">
        <v>39</v>
      </c>
    </row>
    <row r="23" spans="1:5">
      <c r="A23" s="13" t="s">
        <v>37</v>
      </c>
      <c r="B23" s="13"/>
      <c r="C23" s="13" t="s">
        <v>38</v>
      </c>
      <c r="D23" s="13"/>
      <c r="E23" s="13"/>
    </row>
    <row r="24" spans="1:5">
      <c r="A24" s="14" t="s">
        <v>26</v>
      </c>
      <c r="B24" s="15"/>
      <c r="C24" s="12" t="s">
        <v>4</v>
      </c>
      <c r="D24" s="12"/>
      <c r="E24" s="12"/>
    </row>
    <row r="25" spans="1:5">
      <c r="A25" s="14" t="s">
        <v>27</v>
      </c>
      <c r="B25" s="15"/>
      <c r="C25" s="12" t="s">
        <v>5</v>
      </c>
      <c r="D25" s="12"/>
      <c r="E25" s="12"/>
    </row>
    <row r="26" spans="1:5">
      <c r="A26" s="14" t="s">
        <v>28</v>
      </c>
      <c r="B26" s="15"/>
      <c r="C26" s="12" t="s">
        <v>6</v>
      </c>
      <c r="D26" s="12"/>
      <c r="E26" s="12"/>
    </row>
    <row r="27" spans="1:5">
      <c r="A27" s="14" t="s">
        <v>29</v>
      </c>
      <c r="B27" s="15"/>
      <c r="C27" s="12" t="s">
        <v>7</v>
      </c>
      <c r="D27" s="12"/>
      <c r="E27" s="12"/>
    </row>
    <row r="28" spans="1:5">
      <c r="A28" s="14" t="s">
        <v>30</v>
      </c>
      <c r="B28" s="15"/>
      <c r="C28" s="12" t="s">
        <v>8</v>
      </c>
      <c r="D28" s="12"/>
      <c r="E28" s="12"/>
    </row>
    <row r="29" spans="1:5">
      <c r="A29" s="14" t="s">
        <v>31</v>
      </c>
      <c r="B29" s="15"/>
      <c r="C29" s="12" t="s">
        <v>9</v>
      </c>
      <c r="D29" s="12"/>
      <c r="E29" s="12"/>
    </row>
    <row r="30" spans="1:5">
      <c r="A30" s="14" t="s">
        <v>32</v>
      </c>
      <c r="B30" s="15"/>
      <c r="C30" s="12" t="s">
        <v>10</v>
      </c>
      <c r="D30" s="12"/>
      <c r="E30" s="12"/>
    </row>
    <row r="31" spans="1:5">
      <c r="A31" s="14" t="s">
        <v>33</v>
      </c>
      <c r="B31" s="15"/>
      <c r="C31" s="12" t="s">
        <v>11</v>
      </c>
      <c r="D31" s="12"/>
      <c r="E31" s="12"/>
    </row>
    <row r="32" spans="1:5">
      <c r="A32" s="14" t="s">
        <v>34</v>
      </c>
      <c r="B32" s="15"/>
      <c r="C32" s="12" t="s">
        <v>12</v>
      </c>
      <c r="D32" s="12"/>
      <c r="E32" s="12"/>
    </row>
    <row r="33" spans="1:5">
      <c r="A33" s="14" t="s">
        <v>35</v>
      </c>
      <c r="B33" s="15"/>
      <c r="C33" s="12" t="s">
        <v>13</v>
      </c>
      <c r="D33" s="12"/>
      <c r="E33" s="12"/>
    </row>
    <row r="34" spans="1:5">
      <c r="A34" s="14" t="s">
        <v>36</v>
      </c>
      <c r="B34" s="15"/>
      <c r="C34" s="12" t="s">
        <v>14</v>
      </c>
      <c r="D34" s="12"/>
      <c r="E34" s="12"/>
    </row>
    <row r="35" spans="1:5">
      <c r="A35" s="14"/>
      <c r="B35" s="15"/>
      <c r="C35" s="12" t="s">
        <v>15</v>
      </c>
      <c r="D35" s="12"/>
      <c r="E35" s="12"/>
    </row>
    <row r="36" spans="1:5">
      <c r="A36" s="14"/>
      <c r="B36" s="15"/>
      <c r="C36" s="12" t="s">
        <v>16</v>
      </c>
      <c r="D36" s="12"/>
      <c r="E36" s="12"/>
    </row>
    <row r="38" spans="1:5" s="1" customFormat="1">
      <c r="A38" s="1" t="s">
        <v>42</v>
      </c>
    </row>
    <row r="39" spans="1:5">
      <c r="A39" t="s">
        <v>25</v>
      </c>
    </row>
    <row r="40" spans="1:5">
      <c r="A40" t="s">
        <v>20</v>
      </c>
    </row>
    <row r="42" spans="1:5">
      <c r="A42" t="s">
        <v>21</v>
      </c>
      <c r="B42" s="6">
        <v>100000</v>
      </c>
    </row>
    <row r="43" spans="1:5">
      <c r="A43" t="s">
        <v>22</v>
      </c>
      <c r="B43" s="6">
        <f>+B42*0.19</f>
        <v>19000</v>
      </c>
    </row>
    <row r="44" spans="1:5" ht="15.75" thickBot="1">
      <c r="A44" t="s">
        <v>23</v>
      </c>
      <c r="B44" s="7">
        <f>-B42*0.14</f>
        <v>-14000.000000000002</v>
      </c>
    </row>
    <row r="45" spans="1:5" ht="15.75" thickTop="1">
      <c r="A45" t="s">
        <v>24</v>
      </c>
      <c r="B45" s="6">
        <f>+B42+B43+B44</f>
        <v>105000</v>
      </c>
    </row>
  </sheetData>
  <mergeCells count="28">
    <mergeCell ref="A34:B34"/>
    <mergeCell ref="A23:B23"/>
    <mergeCell ref="A24:B24"/>
    <mergeCell ref="A25:B25"/>
    <mergeCell ref="A26:B26"/>
    <mergeCell ref="A27:B27"/>
    <mergeCell ref="A28:B28"/>
    <mergeCell ref="C23:E23"/>
    <mergeCell ref="A35:B35"/>
    <mergeCell ref="A36:B36"/>
    <mergeCell ref="C24:E24"/>
    <mergeCell ref="C25:E25"/>
    <mergeCell ref="C26:E26"/>
    <mergeCell ref="C27:E27"/>
    <mergeCell ref="C28:E28"/>
    <mergeCell ref="C29:E29"/>
    <mergeCell ref="C30:E30"/>
    <mergeCell ref="C31:E31"/>
    <mergeCell ref="A29:B29"/>
    <mergeCell ref="A30:B30"/>
    <mergeCell ref="A31:B31"/>
    <mergeCell ref="A32:B32"/>
    <mergeCell ref="A33:B33"/>
    <mergeCell ref="C32:E32"/>
    <mergeCell ref="C33:E33"/>
    <mergeCell ref="C34:E34"/>
    <mergeCell ref="C35:E35"/>
    <mergeCell ref="C36:E3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8"/>
  <sheetViews>
    <sheetView showGridLines="0" tabSelected="1" topLeftCell="A109" workbookViewId="0"/>
  </sheetViews>
  <sheetFormatPr defaultColWidth="11.42578125" defaultRowHeight="15"/>
  <sheetData>
    <row r="1" spans="1:1" s="1" customFormat="1">
      <c r="A1" s="1" t="s">
        <v>43</v>
      </c>
    </row>
    <row r="2" spans="1:1" s="9" customFormat="1">
      <c r="A2" s="10" t="s">
        <v>44</v>
      </c>
    </row>
    <row r="22" spans="1:1" s="1" customFormat="1">
      <c r="A22" s="1" t="s">
        <v>45</v>
      </c>
    </row>
    <row r="23" spans="1:1">
      <c r="A23" t="s">
        <v>46</v>
      </c>
    </row>
    <row r="38" spans="1:13">
      <c r="A38" t="s">
        <v>47</v>
      </c>
    </row>
    <row r="40" spans="1:13">
      <c r="A40" s="11" t="s">
        <v>48</v>
      </c>
    </row>
    <row r="44" spans="1:13">
      <c r="M44" t="s">
        <v>50</v>
      </c>
    </row>
    <row r="48" spans="1:13">
      <c r="M48" t="s">
        <v>49</v>
      </c>
    </row>
    <row r="77" spans="1:1">
      <c r="A77" s="11" t="s">
        <v>51</v>
      </c>
    </row>
    <row r="79" spans="1:1">
      <c r="A79" t="s">
        <v>52</v>
      </c>
    </row>
    <row r="81" spans="1:1" s="1" customFormat="1">
      <c r="A81" s="1" t="s">
        <v>53</v>
      </c>
    </row>
    <row r="82" spans="1:1">
      <c r="A82" t="s">
        <v>46</v>
      </c>
    </row>
    <row r="97" spans="1:13">
      <c r="A97" t="s">
        <v>54</v>
      </c>
    </row>
    <row r="99" spans="1:13">
      <c r="A99" s="11" t="s">
        <v>48</v>
      </c>
    </row>
    <row r="103" spans="1:13">
      <c r="M103" t="s">
        <v>50</v>
      </c>
    </row>
    <row r="107" spans="1:13">
      <c r="M107" t="s">
        <v>49</v>
      </c>
    </row>
    <row r="136" spans="1:1">
      <c r="A136" s="11" t="s">
        <v>55</v>
      </c>
    </row>
    <row r="138" spans="1:1">
      <c r="A138" t="s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showGridLines="0" topLeftCell="A4" workbookViewId="0">
      <selection activeCell="L24" sqref="L24"/>
    </sheetView>
  </sheetViews>
  <sheetFormatPr defaultColWidth="11.42578125" defaultRowHeight="15"/>
  <sheetData>
    <row r="1" spans="1:16" s="1" customFormat="1">
      <c r="A1" s="1" t="s">
        <v>17</v>
      </c>
    </row>
    <row r="12" spans="1:16" ht="15" customHeight="1"/>
    <row r="13" spans="1:16">
      <c r="K13" s="16" t="s">
        <v>18</v>
      </c>
      <c r="L13" s="16"/>
      <c r="M13" s="16"/>
      <c r="N13" s="16"/>
      <c r="O13" s="16"/>
      <c r="P13" s="16"/>
    </row>
    <row r="14" spans="1:16">
      <c r="K14" s="16"/>
      <c r="L14" s="16"/>
      <c r="M14" s="16"/>
      <c r="N14" s="16"/>
      <c r="O14" s="16"/>
      <c r="P14" s="16"/>
    </row>
  </sheetData>
  <mergeCells count="1">
    <mergeCell ref="K13:P1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FF2B4BC46DB4288228B762F2855F9" ma:contentTypeVersion="7" ma:contentTypeDescription="Crear nuevo documento." ma:contentTypeScope="" ma:versionID="6623aa5598cbf060a7f8c8d35139723c">
  <xsd:schema xmlns:xsd="http://www.w3.org/2001/XMLSchema" xmlns:xs="http://www.w3.org/2001/XMLSchema" xmlns:p="http://schemas.microsoft.com/office/2006/metadata/properties" xmlns:ns2="7b04a390-b91b-4bf8-a484-db8ecd2b88a0" targetNamespace="http://schemas.microsoft.com/office/2006/metadata/properties" ma:root="true" ma:fieldsID="2911068cf4c26200be1da6f787185a0e" ns2:_="">
    <xsd:import namespace="7b04a390-b91b-4bf8-a484-db8ecd2b88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4a390-b91b-4bf8-a484-db8ecd2b8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DBC419-0B9E-4443-B199-12FAE329FDF8}"/>
</file>

<file path=customXml/itemProps2.xml><?xml version="1.0" encoding="utf-8"?>
<ds:datastoreItem xmlns:ds="http://schemas.openxmlformats.org/officeDocument/2006/customXml" ds:itemID="{2724DCE3-B55D-4893-8B06-A8B83A77E8C6}"/>
</file>

<file path=customXml/itemProps3.xml><?xml version="1.0" encoding="utf-8"?>
<ds:datastoreItem xmlns:ds="http://schemas.openxmlformats.org/officeDocument/2006/customXml" ds:itemID="{5A846799-81B2-436B-A71F-32F9DEBA6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 Fact. Compra</vt:lpstr>
      <vt:lpstr>NC y ND Fact. Exportación</vt:lpstr>
      <vt:lpstr>Precio Variable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Catrín</dc:creator>
  <cp:lastModifiedBy>Franca Oppici</cp:lastModifiedBy>
  <dcterms:created xsi:type="dcterms:W3CDTF">2019-04-01T17:56:46Z</dcterms:created>
  <dcterms:modified xsi:type="dcterms:W3CDTF">2019-04-03T21:14:57Z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0x010100A60FF2B4BC46DB4288228B762F2855F9</vt:lpwstr>
  </property>
</Properties>
</file>